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c48c34c93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693ad0dda08c4707"/>
    <x:sheet xmlns:r="http://schemas.openxmlformats.org/officeDocument/2006/relationships" name="Model_Cost" sheetId="2" r:id="R0169e80453654f5f"/>
    <x:sheet xmlns:r="http://schemas.openxmlformats.org/officeDocument/2006/relationships" name="Prompt_Impact" sheetId="3" r:id="R8f9dd68210174f88"/>
    <x:sheet xmlns:r="http://schemas.openxmlformats.org/officeDocument/2006/relationships" name="Evaluation_Spend" sheetId="4" r:id="R16d4db2af28f42c0"/>
    <x:sheet xmlns:r="http://schemas.openxmlformats.org/officeDocument/2006/relationships" name="Sensitivity" sheetId="5" r:id="R17f23b39c54a4475"/>
    <x:sheet xmlns:r="http://schemas.openxmlformats.org/officeDocument/2006/relationships" name="Break_Even" sheetId="6" r:id="R3e8b6760c5414431"/>
    <x:sheet xmlns:r="http://schemas.openxmlformats.org/officeDocument/2006/relationships" name="Uncertainty" sheetId="7" r:id="R80f74187f6164989"/>
    <x:sheet xmlns:r="http://schemas.openxmlformats.org/officeDocument/2006/relationships" name="Cost_Levers" sheetId="8" r:id="Rab46548a8af24366"/>
    <x:sheet xmlns:r="http://schemas.openxmlformats.org/officeDocument/2006/relationships" name="Safety_Reliability" sheetId="9" r:id="R582ab77b18f24a21"/>
    <x:sheet xmlns:r="http://schemas.openxmlformats.org/officeDocument/2006/relationships" name="Cost_Guardrails" sheetId="10" r:id="Ra32333d5e7594a7f"/>
    <x:sheet xmlns:r="http://schemas.openxmlformats.org/officeDocument/2006/relationships" name="Methodology_Limits" sheetId="11" r:id="R5ef6245060a9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&quot;USD &quot;0.000000"/>
    <x:numFmt numFmtId="202" formatCode="&quot;USD &quot;#,##0.00"/>
    <x:numFmt numFmtId="203" formatCode="&quot;USD &quot;0.00000000"/>
    <x:numFmt numFmtId="204" formatCode="0.0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17324D"/>
      <x:name val="Arial"/>
    </x:font>
    <x:font>
      <x:b/>
      <x:sz val="11"/>
      <x:color rgb="FF3274A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D9"/>
      </x:patternFill>
    </x:fill>
    <x:fill>
      <x:patternFill patternType="solid">
        <x:fgColor rgb="FF17324D"/>
      </x:patternFill>
    </x:fill>
  </x:fills>
  <x:borders count="3">
    <x:border/>
    <x:border>
      <x:bottom style="thin">
        <x:color rgb="FFB9C8D4"/>
      </x:bottom>
    </x:border>
    <x:border>
      <x:right style="thin">
        <x:color rgb="FFDCE5EB"/>
      </x:righ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1c22b754b4c51" /><Relationship Type="http://schemas.openxmlformats.org/officeDocument/2006/relationships/theme" Target="/xl/theme/theme1.xml" Id="R07135db49353453d" /><Relationship Type="http://schemas.openxmlformats.org/officeDocument/2006/relationships/sharedStrings" Target="/xl/sharedStrings.xml" Id="R5ce0511497d44846" /><Relationship Type="http://schemas.openxmlformats.org/officeDocument/2006/relationships/worksheet" Target="/xl/worksheets/sheet1.xml" Id="R693ad0dda08c4707" /><Relationship Type="http://schemas.openxmlformats.org/officeDocument/2006/relationships/worksheet" Target="/xl/worksheets/sheet2.xml" Id="R0169e80453654f5f" /><Relationship Type="http://schemas.openxmlformats.org/officeDocument/2006/relationships/worksheet" Target="/xl/worksheets/sheet3.xml" Id="R8f9dd68210174f88" /><Relationship Type="http://schemas.openxmlformats.org/officeDocument/2006/relationships/worksheet" Target="/xl/worksheets/sheet4.xml" Id="R16d4db2af28f42c0" /><Relationship Type="http://schemas.openxmlformats.org/officeDocument/2006/relationships/worksheet" Target="/xl/worksheets/sheet5.xml" Id="R17f23b39c54a4475" /><Relationship Type="http://schemas.openxmlformats.org/officeDocument/2006/relationships/worksheet" Target="/xl/worksheets/sheet6.xml" Id="R3e8b6760c5414431" /><Relationship Type="http://schemas.openxmlformats.org/officeDocument/2006/relationships/worksheet" Target="/xl/worksheets/sheet7.xml" Id="R80f74187f6164989" /><Relationship Type="http://schemas.openxmlformats.org/officeDocument/2006/relationships/worksheet" Target="/xl/worksheets/sheet8.xml" Id="Rab46548a8af24366" /><Relationship Type="http://schemas.openxmlformats.org/officeDocument/2006/relationships/worksheet" Target="/xl/worksheets/sheet9.xml" Id="R582ab77b18f24a21" /><Relationship Type="http://schemas.openxmlformats.org/officeDocument/2006/relationships/worksheet" Target="/xl/worksheets/sheet10.xml" Id="Ra32333d5e7594a7f" /><Relationship Type="http://schemas.openxmlformats.org/officeDocument/2006/relationships/worksheet" Target="/xl/worksheets/sheet11.xml" Id="R5ef6245060a9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8" hidden="0" customWidth="1"/>
    <x:col min="2" max="2" width="20" hidden="0" customWidth="1"/>
    <x:col min="3" max="3" width="18" hidden="0" customWidth="1"/>
    <x:col min="4" max="4" width="22" hidden="0" customWidth="1"/>
    <x:col min="5" max="5" width="22" hidden="0" customWidth="1"/>
    <x:col min="6" max="6" width="35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Problem B - D6 cost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5" t="str">
        <x:v>Problem B assumptions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4" customHeight="1">
      <x:c r="A6" s="9" t="str">
        <x:v>Monthly referrals</x:v>
      </x:c>
      <x:c r="B6" s="9" t="str">
        <x:v>Nurse USD/hour</x:v>
      </x:c>
      <x:c r="C6" s="9" t="str">
        <x:v>Minutes/failure</x:v>
      </x:c>
      <x:c r="D6" s="9" t="str">
        <x:v>Failure USD</x:v>
      </x:c>
      <x:c r="E6" s="9" t="str">
        <x:v>Fixed USD/month</x:v>
      </x:c>
      <x:c r="F6" s="9" t="str">
        <x:v>Fixed-cost status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45" customHeight="1">
      <x:c r="A7" s="10" t="n">
        <x:v>4000</x:v>
      </x:c>
      <x:c r="B7" s="10" t="n">
        <x:v>55</x:v>
      </x:c>
      <x:c r="C7" s="10" t="n">
        <x:v>10</x:v>
      </x:c>
      <x:c r="D7" s="12" t="n">
        <x:v>9.166666666666666</x:v>
      </x:c>
      <x:c r="E7" s="10" t="n">
        <x:v>0</x:v>
      </x:c>
      <x:c r="F7" s="17" t="str">
        <x:v>Baseline assumption; not measured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5" t="str">
        <x:v>Four full-battery V2 monthly scenarios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34" customHeight="1">
      <x:c r="A11" s="9" t="str">
        <x:v>Model</x:v>
      </x:c>
      <x:c r="B11" s="9" t="str">
        <x:v>Pass / 52</x:v>
      </x:c>
      <x:c r="C11" s="9" t="str">
        <x:v>Pass rate</x:v>
      </x:c>
      <x:c r="D11" s="9" t="str">
        <x:v>AI USD/ref</x:v>
      </x:c>
      <x:c r="E11" s="9" t="str">
        <x:v>Fallback USD/ref</x:v>
      </x:c>
      <x:c r="F11" s="9" t="str">
        <x:v>Monthly USD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7" customHeight="1">
      <x:c r="A12" s="10" t="str">
        <x:v>GPT-4o-mini</x:v>
      </x:c>
      <x:c r="B12" s="10" t="str">
        <x:v>17/52</x:v>
      </x:c>
      <x:c r="C12" s="11" t="n">
        <x:f>'Model_Cost'!D11</x:f>
        <x:v>0.3269230769230769</x:v>
      </x:c>
      <x:c r="D12" s="12" t="n">
        <x:f>'Model_Cost'!F11</x:f>
        <x:v>0.0012000028846153846</x:v>
      </x:c>
      <x:c r="E12" s="12" t="n">
        <x:f>'Model_Cost'!G11</x:f>
        <x:v>6.169871794871796</x:v>
      </x:c>
      <x:c r="F12" s="13" t="n">
        <x:f>'Model_Cost'!I11</x:f>
        <x:v>24684.287191025644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7" customHeight="1">
      <x:c r="A13" s="10" t="str">
        <x:v>Qwen 3 30B</x:v>
      </x:c>
      <x:c r="B13" s="10" t="str">
        <x:v>28/52</x:v>
      </x:c>
      <x:c r="C13" s="11" t="n">
        <x:f>'Model_Cost'!D12</x:f>
        <x:v>0.5384615384615384</x:v>
      </x:c>
      <x:c r="D13" s="12" t="n">
        <x:f>'Model_Cost'!F12</x:f>
        <x:v>0.0014655825</x:v>
      </x:c>
      <x:c r="E13" s="12" t="n">
        <x:f>'Model_Cost'!G12</x:f>
        <x:v>4.230769230769231</x:v>
      </x:c>
      <x:c r="F13" s="13" t="n">
        <x:f>'Model_Cost'!I12</x:f>
        <x:v>16928.939253076922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7" customHeight="1">
      <x:c r="A14" s="10" t="str">
        <x:v>Mistral Small 3.2</x:v>
      </x:c>
      <x:c r="B14" s="10" t="str">
        <x:v>37/52</x:v>
      </x:c>
      <x:c r="C14" s="11" t="n">
        <x:f>'Model_Cost'!D13</x:f>
        <x:v>0.7115384615384616</x:v>
      </x:c>
      <x:c r="D14" s="12" t="n">
        <x:f>'Model_Cost'!F13</x:f>
        <x:v>0.0019450096153846154</x:v>
      </x:c>
      <x:c r="E14" s="12" t="n">
        <x:f>'Model_Cost'!G13</x:f>
        <x:v>2.6442307692307687</x:v>
      </x:c>
      <x:c r="F14" s="13" t="n">
        <x:f>'Model_Cost'!I13</x:f>
        <x:v>10584.703115384613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7" customHeight="1">
      <x:c r="A15" s="10" t="str">
        <x:v>Gemini 2.5 Flash</x:v>
      </x:c>
      <x:c r="B15" s="10" t="str">
        <x:v>39/52</x:v>
      </x:c>
      <x:c r="C15" s="11" t="n">
        <x:f>'Model_Cost'!D14</x:f>
        <x:v>0.75</x:v>
      </x:c>
      <x:c r="D15" s="12" t="n">
        <x:f>'Model_Cost'!F14</x:f>
        <x:v>0.003484140384615385</x:v>
      </x:c>
      <x:c r="E15" s="12" t="n">
        <x:f>'Model_Cost'!G14</x:f>
        <x:v>2.2916666666666665</x:v>
      </x:c>
      <x:c r="F15" s="13" t="n">
        <x:f>'Model_Cost'!I14</x:f>
        <x:v>9180.603228205127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5" t="str">
        <x:v>Prompt control and evaluation charges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Qwen V1 -&gt; V2</x:v>
      </x:c>
      <x:c r="B19" s="1" t="str">
        <x:v>20/52 -&gt; 28/52</x:v>
      </x:c>
      <x:c r="C19" s="1" t="str">
        <x:v>+15.38 pp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Selected scored-run spend</x:v>
      </x:c>
      <x:c r="B20" s="18" t="n">
        <x:v>2.13502002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v>Extra charged provider error</x:v>
      </x:c>
      <x:c r="B21" s="18" t="n">
        <x:v>0.00031845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5" t="str">
        <x:v>Frontier negative-only and tier context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50" customHeight="1">
      <x:c r="A25" s="17" t="str">
        <x:v>Claude Opus 5: 10/18 negative pass, 18/18 provider costs, USD 1.644405 spend. No overall pass or general monthly scenario.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55" customHeight="1">
      <x:c r="A27" s="17" t="str">
        <x:v>Team tiers: GPT / Qwen / Mistral / Gemini lower-price; Claude Frontier. Five distinct families: OpenAI, Qwen, Mistral, Google, Anthropic. Exact-model tier mapping is not asserted as official.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4" hidden="0" customWidth="1"/>
    <x:col min="2" max="2" width="14" hidden="0" customWidth="1"/>
    <x:col min="3" max="3" width="14" hidden="0" customWidth="1"/>
    <x:col min="4" max="4" width="16" hidden="0" customWidth="1"/>
    <x:col min="5" max="5" width="21" hidden="0" customWidth="1"/>
    <x:col min="6" max="6" width="21" hidden="0" customWidth="1"/>
    <x:col min="7" max="7" width="23" hidden="0" customWidth="1"/>
    <x:col min="8" max="8" width="21" hidden="0" customWidth="1"/>
    <x:col min="9" max="9" width="22" hidden="0" customWidth="1"/>
    <x:col min="10" max="10" width="15" hidden="0" customWidth="1"/>
    <x:col min="11" max="11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Full-battery cost-to-serve and Claude observed economics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 t="str">
        <x:v>Monthly referral scenario</x:v>
      </x:c>
      <x:c r="B4" s="4" t="n">
        <x:v>4000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Nurse USD / hour</x:v>
      </x:c>
      <x:c r="B5" s="4" t="n">
        <x:v>55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Minutes / failed referral</x:v>
      </x:c>
      <x:c r="B6" s="4" t="n">
        <x:v>10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Fixed USD / month</x:v>
      </x:c>
      <x:c r="B7" s="4" t="n">
        <x:v>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5" t="str">
        <x:v>A. Four V2 full-battery models (52 scored runs each)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4" customHeight="1">
      <x:c r="A10" s="9" t="str">
        <x:v>Model</x:v>
      </x:c>
      <x:c r="B10" s="9" t="str">
        <x:v>Passed</x:v>
      </x:c>
      <x:c r="C10" s="9" t="str">
        <x:v>Runs</x:v>
      </x:c>
      <x:c r="D10" s="9" t="str">
        <x:v>Pass rate</x:v>
      </x:c>
      <x:c r="E10" s="9" t="str">
        <x:v>Provider spend USD</x:v>
      </x:c>
      <x:c r="F10" s="9" t="str">
        <x:v>AI USD/ref</x:v>
      </x:c>
      <x:c r="G10" s="9" t="str">
        <x:v>Fallback USD/ref</x:v>
      </x:c>
      <x:c r="H10" s="9" t="str">
        <x:v>Total USD/ref</x:v>
      </x:c>
      <x:c r="I10" s="9" t="str">
        <x:v>Monthly USD</x:v>
      </x:c>
      <x:c r="J10" s="9" t="str">
        <x:v>Invalid</x:v>
      </x:c>
      <x:c r="K10" s="9" t="str">
        <x:v>Unsafe</x:v>
      </x:c>
      <x:c r="L10" s="1"/>
      <x:c r="M10" s="1"/>
      <x:c r="N10" s="1"/>
      <x:c r="O10" s="1"/>
      <x:c r="P10" s="1"/>
      <x:c r="Q10" s="1"/>
    </x:row>
    <x:row r="11" ht="27" customHeight="1">
      <x:c r="A11" s="10" t="str">
        <x:v>GPT-4o-mini</x:v>
      </x:c>
      <x:c r="B11" s="10" t="n">
        <x:v>17</x:v>
      </x:c>
      <x:c r="C11" s="10" t="n">
        <x:v>52</x:v>
      </x:c>
      <x:c r="D11" s="11" t="n">
        <x:f>B11/C11</x:f>
        <x:v>0.3269230769230769</x:v>
      </x:c>
      <x:c r="E11" s="12" t="n">
        <x:v>0.06240015</x:v>
      </x:c>
      <x:c r="F11" s="12" t="n">
        <x:f>E11/C11</x:f>
        <x:v>0.0012000028846153846</x:v>
      </x:c>
      <x:c r="G11" s="12" t="n">
        <x:f>(1-D11)*$B$5*$B$6/60</x:f>
        <x:v>6.169871794871796</x:v>
      </x:c>
      <x:c r="H11" s="12" t="n">
        <x:f>F11+G11</x:f>
        <x:v>6.171071797756411</x:v>
      </x:c>
      <x:c r="I11" s="13" t="n">
        <x:f>H11*$B$4+$B$7</x:f>
        <x:v>24684.287191025644</x:v>
      </x:c>
      <x:c r="J11" s="10" t="n">
        <x:v>35</x:v>
      </x:c>
      <x:c r="K11" s="10" t="n">
        <x:v>0</x:v>
      </x:c>
      <x:c r="L11" s="1"/>
      <x:c r="M11" s="1"/>
      <x:c r="N11" s="1"/>
      <x:c r="O11" s="1"/>
      <x:c r="P11" s="1"/>
      <x:c r="Q11" s="1"/>
    </x:row>
    <x:row r="12" ht="27" customHeight="1">
      <x:c r="A12" s="10" t="str">
        <x:v>Qwen 3 30B</x:v>
      </x:c>
      <x:c r="B12" s="10" t="n">
        <x:v>28</x:v>
      </x:c>
      <x:c r="C12" s="10" t="n">
        <x:v>52</x:v>
      </x:c>
      <x:c r="D12" s="11" t="n">
        <x:f>B12/C12</x:f>
        <x:v>0.5384615384615384</x:v>
      </x:c>
      <x:c r="E12" s="12" t="n">
        <x:v>0.07621029</x:v>
      </x:c>
      <x:c r="F12" s="12" t="n">
        <x:f>E12/C12</x:f>
        <x:v>0.0014655825</x:v>
      </x:c>
      <x:c r="G12" s="12" t="n">
        <x:f>(1-D12)*$B$5*$B$6/60</x:f>
        <x:v>4.230769230769231</x:v>
      </x:c>
      <x:c r="H12" s="12" t="n">
        <x:f>F12+G12</x:f>
        <x:v>4.232234813269231</x:v>
      </x:c>
      <x:c r="I12" s="13" t="n">
        <x:f>H12*$B$4+$B$7</x:f>
        <x:v>16928.939253076922</x:v>
      </x:c>
      <x:c r="J12" s="10" t="n">
        <x:v>14</x:v>
      </x:c>
      <x:c r="K12" s="10" t="n">
        <x:v>7</x:v>
      </x:c>
      <x:c r="L12" s="1"/>
      <x:c r="M12" s="1"/>
      <x:c r="N12" s="1"/>
      <x:c r="O12" s="1"/>
      <x:c r="P12" s="1"/>
      <x:c r="Q12" s="1"/>
    </x:row>
    <x:row r="13" ht="27" customHeight="1">
      <x:c r="A13" s="10" t="str">
        <x:v>Mistral Small 3.2</x:v>
      </x:c>
      <x:c r="B13" s="10" t="n">
        <x:v>37</x:v>
      </x:c>
      <x:c r="C13" s="10" t="n">
        <x:v>52</x:v>
      </x:c>
      <x:c r="D13" s="11" t="n">
        <x:f>B13/C13</x:f>
        <x:v>0.7115384615384616</x:v>
      </x:c>
      <x:c r="E13" s="12" t="n">
        <x:v>0.1011405</x:v>
      </x:c>
      <x:c r="F13" s="12" t="n">
        <x:f>E13/C13</x:f>
        <x:v>0.0019450096153846154</x:v>
      </x:c>
      <x:c r="G13" s="12" t="n">
        <x:f>(1-D13)*$B$5*$B$6/60</x:f>
        <x:v>2.6442307692307687</x:v>
      </x:c>
      <x:c r="H13" s="12" t="n">
        <x:f>F13+G13</x:f>
        <x:v>2.6461757788461533</x:v>
      </x:c>
      <x:c r="I13" s="13" t="n">
        <x:f>H13*$B$4+$B$7</x:f>
        <x:v>10584.703115384613</x:v>
      </x:c>
      <x:c r="J13" s="10" t="n">
        <x:v>0</x:v>
      </x:c>
      <x:c r="K13" s="10" t="n">
        <x:v>4</x:v>
      </x:c>
      <x:c r="L13" s="1"/>
      <x:c r="M13" s="1"/>
      <x:c r="N13" s="1"/>
      <x:c r="O13" s="1"/>
      <x:c r="P13" s="1"/>
      <x:c r="Q13" s="1"/>
    </x:row>
    <x:row r="14" ht="27" customHeight="1">
      <x:c r="A14" s="10" t="str">
        <x:v>Gemini 2.5 Flash</x:v>
      </x:c>
      <x:c r="B14" s="10" t="n">
        <x:v>39</x:v>
      </x:c>
      <x:c r="C14" s="10" t="n">
        <x:v>52</x:v>
      </x:c>
      <x:c r="D14" s="11" t="n">
        <x:f>B14/C14</x:f>
        <x:v>0.75</x:v>
      </x:c>
      <x:c r="E14" s="12" t="n">
        <x:v>0.1811753</x:v>
      </x:c>
      <x:c r="F14" s="12" t="n">
        <x:f>E14/C14</x:f>
        <x:v>0.003484140384615385</x:v>
      </x:c>
      <x:c r="G14" s="12" t="n">
        <x:f>(1-D14)*$B$5*$B$6/60</x:f>
        <x:v>2.2916666666666665</x:v>
      </x:c>
      <x:c r="H14" s="12" t="n">
        <x:f>F14+G14</x:f>
        <x:v>2.295150807051282</x:v>
      </x:c>
      <x:c r="I14" s="13" t="n">
        <x:f>H14*$B$4+$B$7</x:f>
        <x:v>9180.603228205127</x:v>
      </x:c>
      <x:c r="J14" s="10" t="n">
        <x:v>6</x:v>
      </x:c>
      <x:c r="K14" s="10" t="n">
        <x:v>0</x:v>
      </x:c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5" t="str">
        <x:v>Case-balanced: equal weight to each of 40 cases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34" customHeight="1">
      <x:c r="A18" s="9" t="str">
        <x:v>Model</x:v>
      </x:c>
      <x:c r="B18" s="9" t="str">
        <x:v>Case coverage</x:v>
      </x:c>
      <x:c r="C18" s="9" t="str">
        <x:v>Case pass</x:v>
      </x:c>
      <x:c r="D18" s="9" t="str">
        <x:v>Case AI USD/ref</x:v>
      </x:c>
      <x:c r="E18" s="9" t="str">
        <x:v>Fallback USD/ref</x:v>
      </x:c>
      <x:c r="F18" s="9" t="str">
        <x:v>Total USD/ref</x:v>
      </x:c>
      <x:c r="G18" s="14" t="str">
        <x:v>Monthly USD</x:v>
      </x:c>
      <x:c r="H18" s="9" t="str">
        <x:v>AI cost cases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7" customHeight="1">
      <x:c r="A19" s="10" t="str">
        <x:v>GPT-4o-mini</x:v>
      </x:c>
      <x:c r="B19" s="10" t="str">
        <x:v>40/40</x:v>
      </x:c>
      <x:c r="C19" s="11" t="n">
        <x:v>0.19166666666666665</x:v>
      </x:c>
      <x:c r="D19" s="12" t="n">
        <x:v>0.00129674875</x:v>
      </x:c>
      <x:c r="E19" s="12" t="n">
        <x:f>(1-C19)*$B$5*$B$6/60</x:f>
        <x:v>7.409722222222223</x:v>
      </x:c>
      <x:c r="F19" s="12" t="n">
        <x:f>D19+E19</x:f>
        <x:v>7.411018970972223</x:v>
      </x:c>
      <x:c r="G19" s="15" t="n">
        <x:f>F19*$B$4+$B$7</x:f>
        <x:v>29644.07588388889</x:v>
      </x:c>
      <x:c r="H19" s="10" t="str">
        <x:v>40/40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7" customHeight="1">
      <x:c r="A20" s="10" t="str">
        <x:v>Qwen 3 30B</x:v>
      </x:c>
      <x:c r="B20" s="10" t="str">
        <x:v>40/40</x:v>
      </x:c>
      <x:c r="C20" s="11" t="n">
        <x:v>0.6</x:v>
      </x:c>
      <x:c r="D20" s="12" t="n">
        <x:v>0.00154349375</x:v>
      </x:c>
      <x:c r="E20" s="12" t="n">
        <x:f>(1-C20)*$B$5*$B$6/60</x:f>
        <x:v>3.6666666666666665</x:v>
      </x:c>
      <x:c r="F20" s="12" t="n">
        <x:f>D20+E20</x:f>
        <x:v>3.6682101604166664</x:v>
      </x:c>
      <x:c r="G20" s="15" t="n">
        <x:f>F20*$B$4+$B$7</x:f>
        <x:v>14672.840641666666</x:v>
      </x:c>
      <x:c r="H20" s="10" t="str">
        <x:v>40/40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7" customHeight="1">
      <x:c r="A21" s="10" t="str">
        <x:v>Mistral Small 3.2</x:v>
      </x:c>
      <x:c r="B21" s="10" t="str">
        <x:v>40/40</x:v>
      </x:c>
      <x:c r="C21" s="11" t="n">
        <x:v>0.775</x:v>
      </x:c>
      <x:c r="D21" s="12" t="n">
        <x:v>0.0021066816666666668</x:v>
      </x:c>
      <x:c r="E21" s="12" t="n">
        <x:f>(1-C21)*$B$5*$B$6/60</x:f>
        <x:v>2.0624999999999996</x:v>
      </x:c>
      <x:c r="F21" s="12" t="n">
        <x:f>D21+E21</x:f>
        <x:v>2.064606681666666</x:v>
      </x:c>
      <x:c r="G21" s="15" t="n">
        <x:f>F21*$B$4+$B$7</x:f>
        <x:v>8258.426726666665</x:v>
      </x:c>
      <x:c r="H21" s="10" t="str">
        <x:v>40/40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7" customHeight="1">
      <x:c r="A22" s="10" t="str">
        <x:v>Gemini 2.5 Flash</x:v>
      </x:c>
      <x:c r="B22" s="10" t="str">
        <x:v>40/40</x:v>
      </x:c>
      <x:c r="C22" s="11" t="n">
        <x:v>0.775</x:v>
      </x:c>
      <x:c r="D22" s="12" t="n">
        <x:v>0.0040231925</x:v>
      </x:c>
      <x:c r="E22" s="12" t="n">
        <x:f>(1-C22)*$B$5*$B$6/60</x:f>
        <x:v>2.0624999999999996</x:v>
      </x:c>
      <x:c r="F22" s="12" t="n">
        <x:f>D22+E22</x:f>
        <x:v>2.0665231924999996</x:v>
      </x:c>
      <x:c r="G22" s="15" t="n">
        <x:f>F22*$B$4+$B$7</x:f>
        <x:v>8266.09277</x:v>
      </x:c>
      <x:c r="H22" s="10" t="str">
        <x:v>40/40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5" t="str">
        <x:v>B. Claude Opus 5 - Frontier negative-only (not general production)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34" customHeight="1">
      <x:c r="A26" s="9" t="str">
        <x:v>Model</x:v>
      </x:c>
      <x:c r="B26" s="9" t="str">
        <x:v>Passed</x:v>
      </x:c>
      <x:c r="C26" s="9" t="str">
        <x:v>Negative trials</x:v>
      </x:c>
      <x:c r="D26" s="9" t="str">
        <x:v>Negative pass</x:v>
      </x:c>
      <x:c r="E26" s="9" t="str">
        <x:v>Invalid</x:v>
      </x:c>
      <x:c r="F26" s="9" t="str">
        <x:v>Unsafe</x:v>
      </x:c>
      <x:c r="G26" s="9" t="str">
        <x:v>Provider spend USD</x:v>
      </x:c>
      <x:c r="H26" s="9" t="str">
        <x:v>Mean AI USD/run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7" customHeight="1">
      <x:c r="A27" s="10" t="str">
        <x:v>Claude Opus 5</x:v>
      </x:c>
      <x:c r="B27" s="10" t="n">
        <x:v>10</x:v>
      </x:c>
      <x:c r="C27" s="10" t="n">
        <x:v>18</x:v>
      </x:c>
      <x:c r="D27" s="11" t="n">
        <x:f>B27/C27</x:f>
        <x:v>0.5555555555555556</x:v>
      </x:c>
      <x:c r="E27" s="10" t="n">
        <x:v>8</x:v>
      </x:c>
      <x:c r="F27" s="10" t="n">
        <x:v>0</x:v>
      </x:c>
      <x:c r="G27" s="12" t="n">
        <x:v>1.644405</x:v>
      </x:c>
      <x:c r="H27" s="12" t="n">
        <x:f>G27/C27</x:f>
        <x:v>0.09135583333333333</x:v>
      </x:c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55" customHeight="1">
      <x:c r="A29" s="17" t="str">
        <x:v>Overall/full-battery pass and general monthly, sensitivity, break-even, Pareto: N/A - NEGATIVE_ONLY_SCOPE. Six negative cases x three trials. No extrapolation to 4,000 referrals.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20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Qwen V1 to V2 matched prompt control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Metric</x:v>
      </x:c>
      <x:c r="B5" s="9" t="str">
        <x:v>V1</x:v>
      </x:c>
      <x:c r="C5" s="9" t="str">
        <x:v>V2</x:v>
      </x:c>
      <x:c r="D5" s="9" t="str">
        <x:v>V2 minus V1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7" customHeight="1">
      <x:c r="A6" s="10" t="str">
        <x:v>Pass / 52</x:v>
      </x:c>
      <x:c r="B6" s="10" t="str">
        <x:v>20/52</x:v>
      </x:c>
      <x:c r="C6" s="10" t="str">
        <x:v>28/52</x:v>
      </x:c>
      <x:c r="D6" s="10" t="str">
        <x:v>+8/52 = +15.38 pp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7" customHeight="1">
      <x:c r="A7" s="10" t="str">
        <x:v>Invalid / 52</x:v>
      </x:c>
      <x:c r="B7" s="10" t="str">
        <x:v>26/52</x:v>
      </x:c>
      <x:c r="C7" s="10" t="str">
        <x:v>14/52</x:v>
      </x:c>
      <x:c r="D7" s="10" t="str">
        <x:v>-12/52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7" customHeight="1">
      <x:c r="A8" s="10" t="str">
        <x:v>AI USD/ref</x:v>
      </x:c>
      <x:c r="B8" s="12" t="n">
        <x:v>0.001340168846153846</x:v>
      </x:c>
      <x:c r="C8" s="12" t="n">
        <x:v>0.0014655825</x:v>
      </x:c>
      <x:c r="D8" s="12" t="n">
        <x:v>0.00012541365384615387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7" customHeight="1">
      <x:c r="A9" s="10" t="str">
        <x:v>Fallback USD/ref</x:v>
      </x:c>
      <x:c r="B9" s="12" t="n">
        <x:v>5.641025641025641</x:v>
      </x:c>
      <x:c r="C9" s="12" t="n">
        <x:v>4.230769230769231</x:v>
      </x:c>
      <x:c r="D9" s="12" t="n">
        <x:v>-1.4102564102564106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7" customHeight="1">
      <x:c r="A10" s="10" t="str">
        <x:v>Monthly USD</x:v>
      </x:c>
      <x:c r="B10" s="13" t="n">
        <x:v>22569.46323948718</x:v>
      </x:c>
      <x:c r="C10" s="13" t="n">
        <x:v>16928.939253076922</x:v>
      </x:c>
      <x:c r="D10" s="13" t="n">
        <x:v>-5640.523986410259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7" customHeight="1">
      <x:c r="A11" s="10" t="str">
        <x:v>Case-balanced monthly USD</x:v>
      </x:c>
      <x:c r="B11" s="13" t="n">
        <x:v>22005.600683999997</x:v>
      </x:c>
      <x:c r="C11" s="13" t="n">
        <x:v>14672.840641666666</x:v>
      </x:c>
      <x:c r="D11" s="13" t="n">
        <x:v>-7332.7600423333315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64" customHeight="1">
      <x:c r="A14" s="17" t="str">
        <x:v>The fallback change is success-only under the nurse-time assumption; the total monthly difference also includes AI execution cost. Case-balanced metrics average within case before averaging cases.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  <x:col min="2" max="2" width="25" hidden="0" customWidth="1"/>
    <x:col min="3" max="3" width="75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Recorded evaluation charges and budget context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Component</x:v>
      </x:c>
      <x:c r="B5" s="9" t="str">
        <x:v>USD</x:v>
      </x:c>
      <x:c r="C5" s="9" t="str">
        <x:v>Scope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7" customHeight="1">
      <x:c r="A6" s="10" t="str">
        <x:v>Selected scored runs (278/278)</x:v>
      </x:c>
      <x:c r="B6" s="19" t="n">
        <x:v>2.13502002</x:v>
      </x:c>
      <x:c r="C6" s="10" t="str">
        <x:v>Current selected 5+1; provider-recorded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7" customHeight="1">
      <x:c r="A7" s="10" t="str">
        <x:v>Extra charged Mistral provider error</x:v>
      </x:c>
      <x:c r="B7" s="19" t="n">
        <x:v>0.00031845</x:v>
      </x:c>
      <x:c r="C7" s="10" t="str">
        <x:v>Not a scored trial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7" customHeight="1">
      <x:c r="A8" s="10" t="str">
        <x:v>Recorded charges including error</x:v>
      </x:c>
      <x:c r="B8" s="19" t="n">
        <x:f>SUM(B6:B7)</x:f>
        <x:v>2.1353384699999998</x:v>
      </x:c>
      <x:c r="C8" s="10" t="str">
        <x:v>Scored runs plus extra call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7" customHeight="1">
      <x:c r="A9" s="10" t="str">
        <x:v>Historical account increment</x:v>
      </x:c>
      <x:c r="B9" s="19" t="n">
        <x:v>0.653968992</x:v>
      </x:c>
      <x:c r="C9" s="10" t="str">
        <x:v>Superseded selection/time; not reconciled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7" customHeight="1">
      <x:c r="A10" s="10" t="str">
        <x:v>Historical account residual</x:v>
      </x:c>
      <x:c r="B10" s="19" t="n">
        <x:v>0.018762122</x:v>
      </x:c>
      <x:c r="C10" s="10" t="str">
        <x:v>Superseded selection/time; unattributed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60" customHeight="1">
      <x:c r="A13" s="17" t="str">
        <x:v>The local official PDF Section 7 says USD 10 per personal key for the whole course and permits Frontier negative-only comparison. Its 56-run examples are approximately USD 0.31 / 3.15 / 15.74.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72" customHeight="1">
      <x:c r="A15" s="17" t="str">
        <x:v>Latest user-supplied updated reference gives USD 0.27 / 2.76 / 13.78 for a 56-run battery, but its revised official PDF was not available locally. Neither reference is the measured mixed-scope final spend. USD 2 is not an evidenced overall assignment cap.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  <x:col min="2" max="2" width="13" hidden="0" customWidth="1"/>
    <x:col min="3" max="3" width="18" hidden="0" customWidth="1"/>
    <x:col min="4" max="4" width="20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Success-rate sensitivity - full batteries only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Model</x:v>
      </x:c>
      <x:c r="B5" s="9" t="str">
        <x:v>Scenario</x:v>
      </x:c>
      <x:c r="C5" s="9" t="str">
        <x:v>Pass rate</x:v>
      </x:c>
      <x:c r="D5" s="9" t="str">
        <x:v>AI USD/ref</x:v>
      </x:c>
      <x:c r="E5" s="9" t="str">
        <x:v>Fallback USD/ref</x:v>
      </x:c>
      <x:c r="F5" s="9" t="str">
        <x:v>Monthly USD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7" customHeight="1">
      <x:c r="A6" s="10" t="str">
        <x:v>GPT-4o-mini</x:v>
      </x:c>
      <x:c r="B6" s="10" t="str">
        <x:v>LOW</x:v>
      </x:c>
      <x:c r="C6" s="11" t="n">
        <x:v>0.22692307692307692</x:v>
      </x:c>
      <x:c r="D6" s="12" t="n">
        <x:v>0.0012000028846153846</x:v>
      </x:c>
      <x:c r="E6" s="12" t="n">
        <x:v>7.086538461538462</x:v>
      </x:c>
      <x:c r="F6" s="13" t="n">
        <x:v>28350.953857692308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7" customHeight="1">
      <x:c r="A7" s="10" t="str">
        <x:v>GPT-4o-mini</x:v>
      </x:c>
      <x:c r="B7" s="10" t="str">
        <x:v>BASE</x:v>
      </x:c>
      <x:c r="C7" s="11" t="n">
        <x:v>0.3269230769230769</x:v>
      </x:c>
      <x:c r="D7" s="12" t="n">
        <x:v>0.0012000028846153846</x:v>
      </x:c>
      <x:c r="E7" s="12" t="n">
        <x:v>6.169871794871795</x:v>
      </x:c>
      <x:c r="F7" s="13" t="n">
        <x:v>24684.28719102564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7" customHeight="1">
      <x:c r="A8" s="10" t="str">
        <x:v>GPT-4o-mini</x:v>
      </x:c>
      <x:c r="B8" s="10" t="str">
        <x:v>HIGH</x:v>
      </x:c>
      <x:c r="C8" s="11" t="n">
        <x:v>0.42692307692307696</x:v>
      </x:c>
      <x:c r="D8" s="12" t="n">
        <x:v>0.0012000028846153846</x:v>
      </x:c>
      <x:c r="E8" s="12" t="n">
        <x:v>5.253205128205128</x:v>
      </x:c>
      <x:c r="F8" s="13" t="n">
        <x:v>21017.620524358972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7" customHeight="1">
      <x:c r="A9" s="10" t="str">
        <x:v>Qwen 3 30B</x:v>
      </x:c>
      <x:c r="B9" s="10" t="str">
        <x:v>LOW</x:v>
      </x:c>
      <x:c r="C9" s="11" t="n">
        <x:v>0.43846153846153846</x:v>
      </x:c>
      <x:c r="D9" s="12" t="n">
        <x:v>0.0014655825</x:v>
      </x:c>
      <x:c r="E9" s="12" t="n">
        <x:v>5.147435897435897</x:v>
      </x:c>
      <x:c r="F9" s="13" t="n">
        <x:v>20595.605919743586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7" customHeight="1">
      <x:c r="A10" s="10" t="str">
        <x:v>Qwen 3 30B</x:v>
      </x:c>
      <x:c r="B10" s="10" t="str">
        <x:v>BASE</x:v>
      </x:c>
      <x:c r="C10" s="11" t="n">
        <x:v>0.5384615384615384</x:v>
      </x:c>
      <x:c r="D10" s="12" t="n">
        <x:v>0.0014655825</x:v>
      </x:c>
      <x:c r="E10" s="12" t="n">
        <x:v>4.230769230769231</x:v>
      </x:c>
      <x:c r="F10" s="13" t="n">
        <x:v>16928.939253076922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7" customHeight="1">
      <x:c r="A11" s="10" t="str">
        <x:v>Qwen 3 30B</x:v>
      </x:c>
      <x:c r="B11" s="10" t="str">
        <x:v>HIGH</x:v>
      </x:c>
      <x:c r="C11" s="11" t="n">
        <x:v>0.6384615384615384</x:v>
      </x:c>
      <x:c r="D11" s="12" t="n">
        <x:v>0.0014655825</x:v>
      </x:c>
      <x:c r="E11" s="12" t="n">
        <x:v>3.3141025641025643</x:v>
      </x:c>
      <x:c r="F11" s="13" t="n">
        <x:v>13262.272586410256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7" customHeight="1">
      <x:c r="A12" s="10" t="str">
        <x:v>Mistral Small 3.2</x:v>
      </x:c>
      <x:c r="B12" s="10" t="str">
        <x:v>LOW</x:v>
      </x:c>
      <x:c r="C12" s="11" t="n">
        <x:v>0.6115384615384616</x:v>
      </x:c>
      <x:c r="D12" s="12" t="n">
        <x:v>0.0019450096153846154</x:v>
      </x:c>
      <x:c r="E12" s="12" t="n">
        <x:v>3.5608974358974352</x:v>
      </x:c>
      <x:c r="F12" s="13" t="n">
        <x:v>14251.369782051279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7" customHeight="1">
      <x:c r="A13" s="10" t="str">
        <x:v>Mistral Small 3.2</x:v>
      </x:c>
      <x:c r="B13" s="10" t="str">
        <x:v>BASE</x:v>
      </x:c>
      <x:c r="C13" s="11" t="n">
        <x:v>0.7115384615384616</x:v>
      </x:c>
      <x:c r="D13" s="12" t="n">
        <x:v>0.0019450096153846154</x:v>
      </x:c>
      <x:c r="E13" s="12" t="n">
        <x:v>2.6442307692307687</x:v>
      </x:c>
      <x:c r="F13" s="13" t="n">
        <x:v>10584.703115384613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7" customHeight="1">
      <x:c r="A14" s="10" t="str">
        <x:v>Mistral Small 3.2</x:v>
      </x:c>
      <x:c r="B14" s="10" t="str">
        <x:v>HIGH</x:v>
      </x:c>
      <x:c r="C14" s="11" t="n">
        <x:v>0.8115384615384615</x:v>
      </x:c>
      <x:c r="D14" s="12" t="n">
        <x:v>0.0019450096153846154</x:v>
      </x:c>
      <x:c r="E14" s="12" t="n">
        <x:v>1.7275641025641024</x:v>
      </x:c>
      <x:c r="F14" s="13" t="n">
        <x:v>6918.036448717948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7" customHeight="1">
      <x:c r="A15" s="10" t="str">
        <x:v>Gemini 2.5 Flash</x:v>
      </x:c>
      <x:c r="B15" s="10" t="str">
        <x:v>LOW</x:v>
      </x:c>
      <x:c r="C15" s="11" t="n">
        <x:v>0.65</x:v>
      </x:c>
      <x:c r="D15" s="12" t="n">
        <x:v>0.0034841403846153844</x:v>
      </x:c>
      <x:c r="E15" s="12" t="n">
        <x:v>3.208333333333333</x:v>
      </x:c>
      <x:c r="F15" s="13" t="n">
        <x:v>12847.269894871793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7" customHeight="1">
      <x:c r="A16" s="10" t="str">
        <x:v>Gemini 2.5 Flash</x:v>
      </x:c>
      <x:c r="B16" s="10" t="str">
        <x:v>BASE</x:v>
      </x:c>
      <x:c r="C16" s="11" t="n">
        <x:v>0.75</x:v>
      </x:c>
      <x:c r="D16" s="12" t="n">
        <x:v>0.0034841403846153844</x:v>
      </x:c>
      <x:c r="E16" s="12" t="n">
        <x:v>2.2916666666666665</x:v>
      </x:c>
      <x:c r="F16" s="13" t="n">
        <x:v>9180.603228205127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7" customHeight="1">
      <x:c r="A17" s="10" t="str">
        <x:v>Gemini 2.5 Flash</x:v>
      </x:c>
      <x:c r="B17" s="10" t="str">
        <x:v>HIGH</x:v>
      </x:c>
      <x:c r="C17" s="11" t="n">
        <x:v>0.85</x:v>
      </x:c>
      <x:c r="D17" s="12" t="n">
        <x:v>0.0034841403846153844</x:v>
      </x:c>
      <x:c r="E17" s="12" t="n">
        <x:v>1.3750000000000002</x:v>
      </x:c>
      <x:c r="F17" s="13" t="n">
        <x:v>5513.936561538462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57" customHeight="1">
      <x:c r="A20" s="17" t="str">
        <x:v>LOW / BASE / HIGH change success by ±10 percentage points (not relative percent), clamped to [0,1]. AI execution cost is fixed. Claude has N/A general sensitivity.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Pairwise break-even - four full-battery V2 models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Candidate</x:v>
      </x:c>
      <x:c r="B5" s="9" t="str">
        <x:v>Benchmark</x:v>
      </x:c>
      <x:c r="C5" s="9" t="str">
        <x:v>Raw success threshold</x:v>
      </x:c>
      <x:c r="D5" s="9" t="str">
        <x:v>Feasible [0,1]</x:v>
      </x:c>
      <x:c r="E5" s="9" t="str">
        <x:v>Measured margin pp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7" customHeight="1">
      <x:c r="A6" s="10" t="str">
        <x:v>GPT-4o-mini</x:v>
      </x:c>
      <x:c r="B6" s="10" t="str">
        <x:v>Qwen 3 30B</x:v>
      </x:c>
      <x:c r="C6" s="11" t="n">
        <x:v>0.5384325661398601</x:v>
      </x:c>
      <x:c r="D6" s="11" t="n">
        <x:v>0.5384325661398601</x:v>
      </x:c>
      <x:c r="E6" s="20" t="n">
        <x:v>-21.15094892167832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7" customHeight="1">
      <x:c r="A7" s="10" t="str">
        <x:v>GPT-4o-mini</x:v>
      </x:c>
      <x:c r="B7" s="10" t="str">
        <x:v>Mistral Small 3.2</x:v>
      </x:c>
      <x:c r="C7" s="11" t="n">
        <x:v>0.7114571880769232</x:v>
      </x:c>
      <x:c r="D7" s="11" t="n">
        <x:v>0.7114571880769232</x:v>
      </x:c>
      <x:c r="E7" s="20" t="n">
        <x:v>-38.453411115384625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7" customHeight="1">
      <x:c r="A8" s="10" t="str">
        <x:v>GPT-4o-mini</x:v>
      </x:c>
      <x:c r="B8" s="10" t="str">
        <x:v>Gemini 2.5 Flash</x:v>
      </x:c>
      <x:c r="C8" s="11" t="n">
        <x:v>0.7497508213636364</x:v>
      </x:c>
      <x:c r="D8" s="11" t="n">
        <x:v>0.7497508213636364</x:v>
      </x:c>
      <x:c r="E8" s="20" t="n">
        <x:v>-42.282774444055946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7" customHeight="1">
      <x:c r="A9" s="10" t="str">
        <x:v>Qwen 3 30B</x:v>
      </x:c>
      <x:c r="B9" s="10" t="str">
        <x:v>GPT-4o-mini</x:v>
      </x:c>
      <x:c r="C9" s="11" t="n">
        <x:v>0.3269520492447552</x:v>
      </x:c>
      <x:c r="D9" s="11" t="n">
        <x:v>0.3269520492447552</x:v>
      </x:c>
      <x:c r="E9" s="20" t="n">
        <x:v>21.150948921678324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7" customHeight="1">
      <x:c r="A10" s="10" t="str">
        <x:v>Qwen 3 30B</x:v>
      </x:c>
      <x:c r="B10" s="10" t="str">
        <x:v>Mistral Small 3.2</x:v>
      </x:c>
      <x:c r="C10" s="11" t="n">
        <x:v>0.7114861603986014</x:v>
      </x:c>
      <x:c r="D10" s="11" t="n">
        <x:v>0.7114861603986014</x:v>
      </x:c>
      <x:c r="E10" s="20" t="n">
        <x:v>-17.30246219370629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7" customHeight="1">
      <x:c r="A11" s="10" t="str">
        <x:v>Qwen 3 30B</x:v>
      </x:c>
      <x:c r="B11" s="10" t="str">
        <x:v>Gemini 2.5 Flash</x:v>
      </x:c>
      <x:c r="C11" s="11" t="n">
        <x:v>0.7497797936853147</x:v>
      </x:c>
      <x:c r="D11" s="11" t="n">
        <x:v>0.7497797936853147</x:v>
      </x:c>
      <x:c r="E11" s="20" t="n">
        <x:v>-21.131825522377625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7" customHeight="1">
      <x:c r="A12" s="10" t="str">
        <x:v>Mistral Small 3.2</x:v>
      </x:c>
      <x:c r="B12" s="10" t="str">
        <x:v>GPT-4o-mini</x:v>
      </x:c>
      <x:c r="C12" s="11" t="n">
        <x:v>0.3270043503846154</x:v>
      </x:c>
      <x:c r="D12" s="11" t="n">
        <x:v>0.3270043503846154</x:v>
      </x:c>
      <x:c r="E12" s="20" t="n">
        <x:v>38.45341111538462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7" customHeight="1">
      <x:c r="A13" s="10" t="str">
        <x:v>Mistral Small 3.2</x:v>
      </x:c>
      <x:c r="B13" s="10" t="str">
        <x:v>Qwen 3 30B</x:v>
      </x:c>
      <x:c r="C13" s="11" t="n">
        <x:v>0.5385138396013986</x:v>
      </x:c>
      <x:c r="D13" s="11" t="n">
        <x:v>0.5385138396013986</x:v>
      </x:c>
      <x:c r="E13" s="20" t="n">
        <x:v>17.30246219370629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7" customHeight="1">
      <x:c r="A14" s="10" t="str">
        <x:v>Mistral Small 3.2</x:v>
      </x:c>
      <x:c r="B14" s="10" t="str">
        <x:v>Gemini 2.5 Flash</x:v>
      </x:c>
      <x:c r="C14" s="11" t="n">
        <x:v>0.7498320948251749</x:v>
      </x:c>
      <x:c r="D14" s="11" t="n">
        <x:v>0.7498320948251749</x:v>
      </x:c>
      <x:c r="E14" s="20" t="n">
        <x:v>-3.8293633286713313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7" customHeight="1">
      <x:c r="A15" s="10" t="str">
        <x:v>Gemini 2.5 Flash</x:v>
      </x:c>
      <x:c r="B15" s="10" t="str">
        <x:v>GPT-4o-mini</x:v>
      </x:c>
      <x:c r="C15" s="11" t="n">
        <x:v>0.3271722555594405</x:v>
      </x:c>
      <x:c r="D15" s="11" t="n">
        <x:v>0.3271722555594405</x:v>
      </x:c>
      <x:c r="E15" s="20" t="n">
        <x:v>42.282774444055946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7" customHeight="1">
      <x:c r="A16" s="10" t="str">
        <x:v>Gemini 2.5 Flash</x:v>
      </x:c>
      <x:c r="B16" s="10" t="str">
        <x:v>Qwen 3 30B</x:v>
      </x:c>
      <x:c r="C16" s="11" t="n">
        <x:v>0.5386817447762238</x:v>
      </x:c>
      <x:c r="D16" s="11" t="n">
        <x:v>0.5386817447762238</x:v>
      </x:c>
      <x:c r="E16" s="20" t="n">
        <x:v>21.131825522377625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7" customHeight="1">
      <x:c r="A17" s="10" t="str">
        <x:v>Gemini 2.5 Flash</x:v>
      </x:c>
      <x:c r="B17" s="10" t="str">
        <x:v>Mistral Small 3.2</x:v>
      </x:c>
      <x:c r="C17" s="11" t="n">
        <x:v>0.7117063667132868</x:v>
      </x:c>
      <x:c r="D17" s="11" t="n">
        <x:v>0.7117063667132868</x:v>
      </x:c>
      <x:c r="E17" s="20" t="n">
        <x:v>3.8293633286713202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60" customHeight="1">
      <x:c r="A20" s="17" t="str">
        <x:v>Candidate required pass = 1 - (benchmark expected total cost - candidate AI cost) / failure cost. No Claude or prompt-control extrapolation.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Case-cluster bootstrap - evaluation sample only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Model</x:v>
      </x:c>
      <x:c r="B5" s="9" t="str">
        <x:v>Median monthly USD</x:v>
      </x:c>
      <x:c r="C5" s="9" t="str">
        <x:v>2.5% USD</x:v>
      </x:c>
      <x:c r="D5" s="9" t="str">
        <x:v>97.5% USD</x:v>
      </x:c>
      <x:c r="E5" s="9" t="str">
        <x:v>Method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7" customHeight="1">
      <x:c r="A6" s="10" t="str">
        <x:v>GPT-4o-mini</x:v>
      </x:c>
      <x:c r="B6" s="13" t="n">
        <x:v>24715.717010144926</x:v>
      </x:c>
      <x:c r="C6" s="13" t="n">
        <x:v>18338.160813902297</x:v>
      </x:c>
      <x:c r="D6" s="13" t="n">
        <x:v>31671.22600768939</x:v>
      </x:c>
      <x:c r="E6" s="10" t="str">
        <x:v>5,000 case clusters; seed 6201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7" customHeight="1">
      <x:c r="A7" s="10" t="str">
        <x:v>Qwen 3 30B</x:v>
      </x:c>
      <x:c r="B7" s="13" t="n">
        <x:v>16872.62296226666</x:v>
      </x:c>
      <x:c r="C7" s="13" t="n">
        <x:v>10191.111839018518</x:v>
      </x:c>
      <x:c r="D7" s="13" t="n">
        <x:v>23227.780807288884</x:v>
      </x:c>
      <x:c r="E7" s="10" t="str">
        <x:v>5,000 case clusters; seed 6201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7" customHeight="1">
      <x:c r="A8" s="10" t="str">
        <x:v>Mistral Small 3.2</x:v>
      </x:c>
      <x:c r="B8" s="13" t="n">
        <x:v>10274.61683826667</x:v>
      </x:c>
      <x:c r="C8" s="13" t="n">
        <x:v>4174.915064734849</x:v>
      </x:c>
      <x:c r="D8" s="13" t="n">
        <x:v>17076.31975613793</x:v>
      </x:c>
      <x:c r="E8" s="10" t="str">
        <x:v>5,000 case clusters; seed 6201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7" customHeight="1">
      <x:c r="A9" s="10" t="str">
        <x:v>Gemini 2.5 Flash</x:v>
      </x:c>
      <x:c r="B9" s="13" t="n">
        <x:v>8842.364086419751</x:v>
      </x:c>
      <x:c r="C9" s="13" t="n">
        <x:v>3680.4242935066654</x:v>
      </x:c>
      <x:c r="D9" s="13" t="n">
        <x:v>15290.247223206941</x:v>
      </x:c>
      <x:c r="E9" s="10" t="str">
        <x:v>5,000 case clusters; seed 6201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65" customHeight="1">
      <x:c r="A12" s="17" t="str">
        <x:v>EVALUATION-SAMPLE UNCERTAINTY ONLY. Each sampled case carries all its trial rows. These intervals do not establish hospital prevalence or uncertainty for Claude ordinary cases.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4" hidden="0" customWidth="1"/>
    <x:col min="2" max="2" width="22" hidden="0" customWidth="1"/>
    <x:col min="3" max="3" width="26" hidden="0" customWidth="1"/>
    <x:col min="4" max="4" width="3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B / T / D / S cost-lever evidence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Lever</x:v>
      </x:c>
      <x:c r="B5" s="9" t="str">
        <x:v>Evidence source</x:v>
      </x:c>
      <x:c r="C5" s="9" t="str">
        <x:v>Causal status</x:v>
      </x:c>
      <x:c r="D5" s="9" t="str">
        <x:v>Interpretation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85" customHeight="1">
      <x:c r="A6" s="10" t="str">
        <x:v>B_TOOL_BLOCK</x:v>
      </x:c>
      <x:c r="B6" s="17" t="str">
        <x:v>D2 live GPT-4o-mini control; separate from final selected D5 evaluation set</x:v>
      </x:c>
      <x:c r="C6" s="17" t="str">
        <x:v>Not causally isolated</x:v>
      </x:c>
      <x:c r="D6" s="17" t="str">
        <x:v>D2 descriptor version changes tool block and returned observation shape together; no B-only dollar attribution.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85" customHeight="1">
      <x:c r="A7" s="10" t="str">
        <x:v>T_TURN_COUNT</x:v>
      </x:c>
      <x:c r="B7" s="17" t="str">
        <x:v>D2 live GPT-4o-mini control; separate from final selected D5 evaluation set</x:v>
      </x:c>
      <x:c r="C7" s="17" t="str">
        <x:v>Measured within D2</x:v>
      </x:c>
      <x:c r="D7" s="17" t="str">
        <x:v>Same D2 case/trial keys, model and v2 descriptor; call mode differs. D2 compact output lacks commit/provenance and is not D5.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85" customHeight="1">
      <x:c r="A8" s="10" t="str">
        <x:v>D_OBSERVATION_SIZE</x:v>
      </x:c>
      <x:c r="B8" s="17" t="str">
        <x:v>D2 live GPT-4o-mini control; separate from final selected D5 evaluation set</x:v>
      </x:c>
      <x:c r="C8" s="17" t="str">
        <x:v>Not causally isolated</x:v>
      </x:c>
      <x:c r="D8" s="17" t="str">
        <x:v>D2 compact observations lack payloads and v1/v2 changes descriptor plus return shape; D5 has only descriptor v2.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85" customHeight="1">
      <x:c r="A9" s="10" t="str">
        <x:v>S_SUCCESS_RATE</x:v>
      </x:c>
      <x:c r="B9" s="17" t="str">
        <x:v>D5 Qwen V1/V2 matched formal prompt control</x:v>
      </x:c>
      <x:c r="C9" s="17" t="str">
        <x:v>Assumption translation</x:v>
      </x:c>
      <x:c r="D9" s="17" t="str">
        <x:v>Qwen matched prompt control; nurse fallback is assignment assumption, not D5 measured spend.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70" customHeight="1">
      <x:c r="A12" s="17" t="str">
        <x:v>B and D use offline lexical units, NOT_PROVIDER_TOKENIZATION. T is a separate matched D2 control. S is Qwen V1 to V2; fallback is an assumption-based translation, not measured nurse spend.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  <x:col min="2" max="2" width="18" hidden="0" customWidth="1"/>
    <x:col min="3" max="3" width="18" hidden="0" customWidth="1"/>
    <x:col min="4" max="4" width="21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Five-model common-negative safety and reliability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V2 model</x:v>
      </x:c>
      <x:c r="B5" s="9" t="str">
        <x:v>Pass / 18</x:v>
      </x:c>
      <x:c r="C5" s="9" t="str">
        <x:v>Invalid / 18</x:v>
      </x:c>
      <x:c r="D5" s="9" t="str">
        <x:v>Unsafe book attempts</x:v>
      </x:c>
      <x:c r="E5" s="9" t="str">
        <x:v>Provider spend USD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7" customHeight="1">
      <x:c r="A6" s="10" t="str">
        <x:v>GPT-4o-mini</x:v>
      </x:c>
      <x:c r="B6" s="10" t="str">
        <x:v>14/18 = 77.78%</x:v>
      </x:c>
      <x:c r="C6" s="10" t="str">
        <x:v>4/18</x:v>
      </x:c>
      <x:c r="D6" s="10" t="n">
        <x:v>0</x:v>
      </x:c>
      <x:c r="E6" s="19" t="n">
        <x:v>0.0157953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7" customHeight="1">
      <x:c r="A7" s="10" t="str">
        <x:v>Qwen 3 30B</x:v>
      </x:c>
      <x:c r="B7" s="10" t="str">
        <x:v>6/18 = 33.33%</x:v>
      </x:c>
      <x:c r="C7" s="10" t="str">
        <x:v>2/18</x:v>
      </x:c>
      <x:c r="D7" s="10" t="n">
        <x:v>7</x:v>
      </x:c>
      <x:c r="E7" s="19" t="n">
        <x:v>0.02170581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7" customHeight="1">
      <x:c r="A8" s="10" t="str">
        <x:v>Mistral Small 3.2</x:v>
      </x:c>
      <x:c r="B8" s="10" t="str">
        <x:v>9/18 = 50.00%</x:v>
      </x:c>
      <x:c r="C8" s="10" t="str">
        <x:v>0/18</x:v>
      </x:c>
      <x:c r="D8" s="10" t="n">
        <x:v>4</x:v>
      </x:c>
      <x:c r="E8" s="19" t="n">
        <x:v>0.02530985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7" customHeight="1">
      <x:c r="A9" s="10" t="str">
        <x:v>Gemini 2.5 Flash</x:v>
      </x:c>
      <x:c r="B9" s="10" t="str">
        <x:v>12/18 = 66.67%</x:v>
      </x:c>
      <x:c r="C9" s="10" t="str">
        <x:v>6/18</x:v>
      </x:c>
      <x:c r="D9" s="10" t="n">
        <x:v>0</x:v>
      </x:c>
      <x:c r="E9" s="19" t="n">
        <x:v>0.0303714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7" customHeight="1">
      <x:c r="A10" s="10" t="str">
        <x:v>Claude Opus 5</x:v>
      </x:c>
      <x:c r="B10" s="10" t="str">
        <x:v>10/18 = 55.56%</x:v>
      </x:c>
      <x:c r="C10" s="10" t="str">
        <x:v>8/18</x:v>
      </x:c>
      <x:c r="D10" s="10" t="n">
        <x:v>0</x:v>
      </x:c>
      <x:c r="E10" s="19" t="n">
        <x:v>1.644405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72" customHeight="1">
      <x:c r="A13" s="17" t="str">
        <x:v>Identical 18 case/trial keys, six negative cases x three trials. Unsafe means attempted book_slot in a negative case, not necessarily completed booking. This is a stress test, not a general monthly forecast.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32" hidden="0" customWidth="1"/>
    <x:col min="4" max="4" width="6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Actual controls and proposed monitoring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9" t="str">
        <x:v>Control</x:v>
      </x:c>
      <x:c r="B5" s="9" t="str">
        <x:v>Evidence / value</x:v>
      </x:c>
      <x:c r="C5" s="9" t="str">
        <x:v>Status</x:v>
      </x:c>
      <x:c r="D5" s="9" t="str">
        <x:v>Interpretation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65" customHeight="1">
      <x:c r="A6" s="10" t="str">
        <x:v>Step cap</x:v>
      </x:c>
      <x:c r="B6" s="17" t="str">
        <x:v>8 turns</x:v>
      </x:c>
      <x:c r="C6" s="17" t="str">
        <x:v>Implemented</x:v>
      </x:c>
      <x:c r="D6" s="17" t="str">
        <x:v>Frozen D5 config and Agent guardrail core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65" customHeight="1">
      <x:c r="A7" s="10" t="str">
        <x:v>Evaluation budget</x:v>
      </x:c>
      <x:c r="B7" s="17" t="str">
        <x:v>Per-battery CLI parameter</x:v>
      </x:c>
      <x:c r="C7" s="17" t="str">
        <x:v>Implemented in D5 runner</x:v>
      </x:c>
      <x:c r="D7" s="17" t="str">
        <x:v>Not a production agent budget ceiling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65" customHeight="1">
      <x:c r="A8" s="10" t="str">
        <x:v>Monthly per-user limit</x:v>
      </x:c>
      <x:c r="B8" s="17" t="str">
        <x:v>No value in saved evidence</x:v>
      </x:c>
      <x:c r="C8" s="17" t="str">
        <x:v>Not implemented</x:v>
      </x:c>
      <x:c r="D8" s="17" t="str">
        <x:v>Requires an explicit user allocation policy; 4,000 is workload volume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65" customHeight="1">
      <x:c r="A9" s="10" t="str">
        <x:v>Abnormal token/cost</x:v>
      </x:c>
      <x:c r="B9" s="17" t="str">
        <x:v>Within-model p95 + headroom</x:v>
      </x:c>
      <x:c r="C9" s="17" t="str">
        <x:v>Proposed / monitor-only</x:v>
      </x:c>
      <x:c r="D9" s="17" t="str">
        <x:v>No proposed alert was retrospectively applied to D5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65" customHeight="1">
      <x:c r="A10" s="10" t="str">
        <x:v>Action and autonomy</x:v>
      </x:c>
      <x:c r="B10" s="17" t="str">
        <x:v>Booking gate; confirm mode</x:v>
      </x:c>
      <x:c r="C10" s="17" t="str">
        <x:v>Implemented context</x:v>
      </x:c>
      <x:c r="D10" s="17" t="str">
        <x:v>Keep safety separate from dollars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1" customHeight="1">
      <x:c r="A2" s="2" t="str">
        <x:v>Scope, provenance and interpretation limits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2" customHeight="1">
      <x:c r="A5" s="16" t="str">
        <x:v>Evaluation pass rates and 4,000-referral monthly scenarios are not hospital prevalence or production forecasts.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2" customHeight="1">
      <x:c r="A6" s="16" t="str">
        <x:v>Claude is Frontier negative-only: 18 trials, six negative cases; no ordinary/full-battery pass or general monthly extrapolation.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42" customHeight="1">
      <x:c r="A7" s="16" t="str">
        <x:v>Four full batteries have 40 cases and six negative cases, giving 52 runs rather than the later expected 40 / eight / 56 shape.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2" customHeight="1">
      <x:c r="A8" s="16" t="str">
        <x:v>Claude source commit is recorded, but a complete source-tree diff is unavailable locally.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2" customHeight="1">
      <x:c r="A9" s="16" t="str">
        <x:v>Fixed deployment cost of USD 0 is a baseline assumption, not measured deployment spend.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2" customHeight="1">
      <x:c r="A10" s="16" t="str">
        <x:v>Historical account snapshots cannot be reconciled to the final selected 5+1 provider charges.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2" customHeight="1">
      <x:c r="A11" s="16" t="str">
        <x:v>The lower-price / Frontier classification is the team's selection, not an official exact-model tier mapping.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2" customHeight="1">
      <x:c r="A12" s="16" t="str">
        <x:v>B/D lexical reference units are not provider tokenization. D2 controls are separate from the D5 battery.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2" customHeight="1">
      <x:c r="A13" s="16" t="str">
        <x:v>The local Section 7 PDF and user-supplied updated 56-run figures differ; the latter cannot be independently verified from a revised local official PDF.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2" customHeight="1">
      <x:c r="A14" s="16" t="str">
        <x:v>Safety has no sourced monetary penalty. Negative-subset comparisons are stress tests, not production scenarios.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